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fixedsolutions-my.sharepoint.com/personal/sameh_saeed_fixedsolutions_onmicrosoft_com/Documents/Quantum/Post-Quantum Cryptography Assessment Service/"/>
    </mc:Choice>
  </mc:AlternateContent>
  <xr:revisionPtr revIDLastSave="0" documentId="13_ncr:1_{1FC66CD3-3A40-F848-9CF5-D9E4F073C631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QSRI Index" sheetId="1" r:id="rId1"/>
    <sheet name="Maturity Levels" sheetId="2" r:id="rId2"/>
    <sheet name="Scoring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  <c r="D11" i="1" s="1"/>
  <c r="B11" i="1"/>
</calcChain>
</file>

<file path=xl/sharedStrings.xml><?xml version="1.0" encoding="utf-8"?>
<sst xmlns="http://schemas.openxmlformats.org/spreadsheetml/2006/main" count="72" uniqueCount="64">
  <si>
    <t>Dimension</t>
  </si>
  <si>
    <t>Weight (%)</t>
  </si>
  <si>
    <t>Maturity Level (0-5)</t>
  </si>
  <si>
    <t>Score</t>
  </si>
  <si>
    <t>Notes</t>
  </si>
  <si>
    <t>Cryptographic Inventory &amp; Discovery</t>
  </si>
  <si>
    <t>Risk Assessment &amp; Impact Analysis</t>
  </si>
  <si>
    <t>Policy &amp; Governance</t>
  </si>
  <si>
    <t>Technology &amp; Crypto Agility</t>
  </si>
  <si>
    <t>Migration Planning &amp; Execution</t>
  </si>
  <si>
    <t>Vendor &amp; Supply Chain Readiness</t>
  </si>
  <si>
    <t>Regulatory &amp; Compliance Alignment</t>
  </si>
  <si>
    <t>Awareness &amp; Workforce Training</t>
  </si>
  <si>
    <t>Total</t>
  </si>
  <si>
    <t>Level</t>
  </si>
  <si>
    <t>Maturity</t>
  </si>
  <si>
    <t>Description</t>
  </si>
  <si>
    <t>Unaware</t>
  </si>
  <si>
    <t>No awareness of quantum threats; no action taken.</t>
  </si>
  <si>
    <t>Aware</t>
  </si>
  <si>
    <t>Basic awareness; no formal program or inventory.</t>
  </si>
  <si>
    <t>Initiating</t>
  </si>
  <si>
    <t>Initial assessments or inventories are in progress.</t>
  </si>
  <si>
    <t>Planning</t>
  </si>
  <si>
    <t>Roadmaps, governance, and testbeds defined.</t>
  </si>
  <si>
    <t>Migrating</t>
  </si>
  <si>
    <t>Pilot PQC/hybrid crypto deployments in production areas.</t>
  </si>
  <si>
    <t>Quantum-Safe Ready</t>
  </si>
  <si>
    <t>Full cryptographic agility, PQC adoption, and policy integration.</t>
  </si>
  <si>
    <t>Score Range</t>
  </si>
  <si>
    <t>Readiness Level</t>
  </si>
  <si>
    <t>Interpretation</t>
  </si>
  <si>
    <t>0–25</t>
  </si>
  <si>
    <t>Unprepared</t>
  </si>
  <si>
    <t>Critical risk; no quantum defense strategy.</t>
  </si>
  <si>
    <t>26–50</t>
  </si>
  <si>
    <t>Early-stage</t>
  </si>
  <si>
    <t>Awareness stage; significant work required.</t>
  </si>
  <si>
    <t>51–75</t>
  </si>
  <si>
    <t>Progressing</t>
  </si>
  <si>
    <t>Partial readiness with some implementation.</t>
  </si>
  <si>
    <t>76–100</t>
  </si>
  <si>
    <t>Mature</t>
  </si>
  <si>
    <t>Quantum-safe ready with strong governance.</t>
  </si>
  <si>
    <t>QSRI Interpretation:</t>
  </si>
  <si>
    <t>Visibility over where cryptography is used in the organization.</t>
  </si>
  <si>
    <t>Understanding which assets and data are vulnerable to quantum threats.</t>
  </si>
  <si>
    <t>Leadership commitment, PQC strategy, and governance model.</t>
  </si>
  <si>
    <t>Ability to upgrade or swap cryptography with minimal disruption.</t>
  </si>
  <si>
    <t>Defined strategy, timeline, and pilot migrations.</t>
  </si>
  <si>
    <t>Ensuring partners and products support PQC transition.</t>
  </si>
  <si>
    <t>Alignment with national and international standards.</t>
  </si>
  <si>
    <t>Internal capacity building and training on quantum risks.</t>
  </si>
  <si>
    <r>
      <t>0–25:</t>
    </r>
    <r>
      <rPr>
        <sz val="10"/>
        <color theme="1"/>
        <rFont val="Calibri (Body)"/>
      </rPr>
      <t xml:space="preserve"> Unprepared — at critical risk.</t>
    </r>
  </si>
  <si>
    <r>
      <t>26–50:</t>
    </r>
    <r>
      <rPr>
        <sz val="10"/>
        <color theme="1"/>
        <rFont val="Calibri (Body)"/>
      </rPr>
      <t xml:space="preserve"> Early-stage — significant work required.</t>
    </r>
  </si>
  <si>
    <r>
      <t>51–75:</t>
    </r>
    <r>
      <rPr>
        <sz val="10"/>
        <color theme="1"/>
        <rFont val="Calibri (Body)"/>
      </rPr>
      <t xml:space="preserve"> Progressing — partial readiness, needs execution.</t>
    </r>
  </si>
  <si>
    <r>
      <t>76–100:</t>
    </r>
    <r>
      <rPr>
        <sz val="10"/>
        <color theme="1"/>
        <rFont val="Calibri (Body)"/>
      </rPr>
      <t xml:space="preserve"> Mature — quantum-safe ready</t>
    </r>
  </si>
  <si>
    <r>
      <rPr>
        <b/>
        <sz val="10"/>
        <color theme="1"/>
        <rFont val="Calibri (Body)"/>
      </rPr>
      <t>Purpose of QSRI</t>
    </r>
    <r>
      <rPr>
        <sz val="10"/>
        <color theme="1"/>
        <rFont val="Calibri (Body)"/>
      </rPr>
      <t xml:space="preserve">
- Quantify how well an organization is prepared for quantum threats.
- Provide a standardized benchmark for internal assessment, industry comparison, and regulatory reporting.
- Support risk management, migration roadmaps, and investment prioritization.
- Align organizations with NIST PQC, ETSI, and ENISA guidance.</t>
    </r>
  </si>
  <si>
    <t>0 – Unaware</t>
  </si>
  <si>
    <t>1 – Aware</t>
  </si>
  <si>
    <t>2 – Initiating</t>
  </si>
  <si>
    <t>3 – Planning</t>
  </si>
  <si>
    <t>4 – Migrating</t>
  </si>
  <si>
    <t>5 – Quantum-Safe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</si>
</sst>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b/>
      <sz val="10"/>
      <name val="Calibri (Body)"/>
    </font>
    <font>
      <sz val="10"/>
      <color theme="1"/>
      <name val="Calibri (Body)"/>
    </font>
    <font>
      <b/>
      <sz val="10"/>
      <color theme="1"/>
      <name val="Calibri (Body)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4" fillId="0" borderId="2" xfId="0" applyFont="1" applyBorder="1" applyAlignment="1">
      <alignment horizontal="left" wrapText="1" indent="2"/>
    </xf>
    <xf numFmtId="0" fontId="4" fillId="0" borderId="3" xfId="0" applyFont="1" applyBorder="1" applyAlignment="1">
      <alignment horizontal="left" indent="2"/>
    </xf>
    <xf numFmtId="0" fontId="4" fillId="0" borderId="4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20" zoomScaleNormal="120" workbookViewId="0">
      <selection activeCell="C14" sqref="C14"/>
    </sheetView>
  </sheetViews>
  <sheetFormatPr baseColWidth="10" defaultColWidth="8.83203125" defaultRowHeight="14" x14ac:dyDescent="0.2"/>
  <cols>
    <col min="1" max="1" width="29.5" style="4" bestFit="1" customWidth="1"/>
    <col min="2" max="2" width="9.5" style="4" bestFit="1" customWidth="1"/>
    <col min="3" max="3" width="16.5" style="4" bestFit="1" customWidth="1"/>
    <col min="4" max="4" width="13.1640625" style="4" customWidth="1"/>
    <col min="5" max="5" width="26" style="4" customWidth="1"/>
    <col min="6" max="6" width="7" style="4" customWidth="1"/>
    <col min="7" max="7" width="18.33203125" style="4" customWidth="1"/>
    <col min="8" max="8" width="28.1640625" style="4" customWidth="1"/>
    <col min="9" max="16384" width="8.83203125" style="4"/>
  </cols>
  <sheetData>
    <row r="1" spans="1:8" ht="74" customHeight="1" x14ac:dyDescent="0.2">
      <c r="A1" s="16" t="s">
        <v>57</v>
      </c>
      <c r="B1" s="17"/>
      <c r="C1" s="17"/>
      <c r="D1" s="17"/>
      <c r="E1" s="18"/>
    </row>
    <row r="2" spans="1:8" ht="30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8" ht="26" x14ac:dyDescent="0.2">
      <c r="A3" s="5" t="s">
        <v>5</v>
      </c>
      <c r="B3" s="6">
        <v>0.15</v>
      </c>
      <c r="C3" s="7">
        <v>3</v>
      </c>
      <c r="D3" s="7">
        <f>B3*100*C3/5</f>
        <v>9</v>
      </c>
      <c r="E3" s="2" t="s">
        <v>45</v>
      </c>
      <c r="G3" s="12" t="s">
        <v>14</v>
      </c>
      <c r="H3" s="12" t="s">
        <v>15</v>
      </c>
    </row>
    <row r="4" spans="1:8" ht="26" x14ac:dyDescent="0.2">
      <c r="A4" s="5" t="s">
        <v>6</v>
      </c>
      <c r="B4" s="6">
        <v>0.1</v>
      </c>
      <c r="C4" s="7">
        <v>2</v>
      </c>
      <c r="D4" s="7">
        <f t="shared" ref="D4:D10" si="0">B4*100*C4/5</f>
        <v>4</v>
      </c>
      <c r="E4" s="2" t="s">
        <v>46</v>
      </c>
      <c r="G4" s="13" t="s">
        <v>58</v>
      </c>
      <c r="H4" s="2" t="s">
        <v>18</v>
      </c>
    </row>
    <row r="5" spans="1:8" ht="26" x14ac:dyDescent="0.2">
      <c r="A5" s="5" t="s">
        <v>7</v>
      </c>
      <c r="B5" s="6">
        <v>0.1</v>
      </c>
      <c r="C5" s="7">
        <v>2</v>
      </c>
      <c r="D5" s="7">
        <f t="shared" si="0"/>
        <v>4</v>
      </c>
      <c r="E5" s="2" t="s">
        <v>47</v>
      </c>
      <c r="G5" s="13" t="s">
        <v>59</v>
      </c>
      <c r="H5" s="2" t="s">
        <v>20</v>
      </c>
    </row>
    <row r="6" spans="1:8" ht="26" x14ac:dyDescent="0.2">
      <c r="A6" s="5" t="s">
        <v>8</v>
      </c>
      <c r="B6" s="6">
        <v>0.15</v>
      </c>
      <c r="C6" s="7">
        <v>4</v>
      </c>
      <c r="D6" s="7">
        <f t="shared" si="0"/>
        <v>12</v>
      </c>
      <c r="E6" s="2" t="s">
        <v>48</v>
      </c>
      <c r="G6" s="13" t="s">
        <v>60</v>
      </c>
      <c r="H6" s="2" t="s">
        <v>22</v>
      </c>
    </row>
    <row r="7" spans="1:8" ht="26" x14ac:dyDescent="0.2">
      <c r="A7" s="5" t="s">
        <v>9</v>
      </c>
      <c r="B7" s="6">
        <v>0.2</v>
      </c>
      <c r="C7" s="7">
        <v>2</v>
      </c>
      <c r="D7" s="7">
        <f t="shared" si="0"/>
        <v>8</v>
      </c>
      <c r="E7" s="2" t="s">
        <v>49</v>
      </c>
      <c r="G7" s="13" t="s">
        <v>61</v>
      </c>
      <c r="H7" s="2" t="s">
        <v>24</v>
      </c>
    </row>
    <row r="8" spans="1:8" ht="26" x14ac:dyDescent="0.2">
      <c r="A8" s="5" t="s">
        <v>10</v>
      </c>
      <c r="B8" s="6">
        <v>0.1</v>
      </c>
      <c r="C8" s="7">
        <v>4</v>
      </c>
      <c r="D8" s="7">
        <f t="shared" si="0"/>
        <v>8</v>
      </c>
      <c r="E8" s="2" t="s">
        <v>50</v>
      </c>
      <c r="G8" s="13" t="s">
        <v>62</v>
      </c>
      <c r="H8" s="2" t="s">
        <v>26</v>
      </c>
    </row>
    <row r="9" spans="1:8" ht="26" x14ac:dyDescent="0.2">
      <c r="A9" s="5" t="s">
        <v>11</v>
      </c>
      <c r="B9" s="6">
        <v>0.1</v>
      </c>
      <c r="C9" s="7">
        <v>2</v>
      </c>
      <c r="D9" s="7">
        <f t="shared" si="0"/>
        <v>4</v>
      </c>
      <c r="E9" s="2" t="s">
        <v>51</v>
      </c>
      <c r="G9" s="13" t="s">
        <v>63</v>
      </c>
      <c r="H9" s="2" t="s">
        <v>28</v>
      </c>
    </row>
    <row r="10" spans="1:8" ht="26" x14ac:dyDescent="0.2">
      <c r="A10" s="5" t="s">
        <v>12</v>
      </c>
      <c r="B10" s="6">
        <v>0.1</v>
      </c>
      <c r="C10" s="7">
        <v>5</v>
      </c>
      <c r="D10" s="7">
        <f t="shared" si="0"/>
        <v>10</v>
      </c>
      <c r="E10" s="2" t="s">
        <v>52</v>
      </c>
    </row>
    <row r="11" spans="1:8" s="11" customFormat="1" ht="25" customHeight="1" x14ac:dyDescent="0.2">
      <c r="A11" s="8" t="s">
        <v>13</v>
      </c>
      <c r="B11" s="9">
        <f>SUM(B3:B10)</f>
        <v>0.99999999999999989</v>
      </c>
      <c r="C11" s="8"/>
      <c r="D11" s="10">
        <f>SUM(D3:D10)</f>
        <v>59</v>
      </c>
      <c r="E11" s="8"/>
    </row>
    <row r="12" spans="1:8" ht="24" customHeight="1" x14ac:dyDescent="0.2">
      <c r="A12" s="14" t="s">
        <v>44</v>
      </c>
    </row>
    <row r="13" spans="1:8" x14ac:dyDescent="0.2">
      <c r="A13" s="15" t="s">
        <v>53</v>
      </c>
    </row>
    <row r="14" spans="1:8" x14ac:dyDescent="0.2">
      <c r="A14" s="15" t="s">
        <v>54</v>
      </c>
    </row>
    <row r="15" spans="1:8" x14ac:dyDescent="0.2">
      <c r="A15" s="15" t="s">
        <v>55</v>
      </c>
    </row>
    <row r="16" spans="1:8" x14ac:dyDescent="0.2">
      <c r="A16" s="15" t="s">
        <v>56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>
        <v>0</v>
      </c>
      <c r="B2" t="s">
        <v>17</v>
      </c>
      <c r="C2" t="s">
        <v>18</v>
      </c>
    </row>
    <row r="3" spans="1:3" x14ac:dyDescent="0.2">
      <c r="A3">
        <v>1</v>
      </c>
      <c r="B3" t="s">
        <v>19</v>
      </c>
      <c r="C3" t="s">
        <v>20</v>
      </c>
    </row>
    <row r="4" spans="1:3" x14ac:dyDescent="0.2">
      <c r="A4">
        <v>2</v>
      </c>
      <c r="B4" t="s">
        <v>21</v>
      </c>
      <c r="C4" t="s">
        <v>22</v>
      </c>
    </row>
    <row r="5" spans="1:3" x14ac:dyDescent="0.2">
      <c r="A5">
        <v>3</v>
      </c>
      <c r="B5" t="s">
        <v>23</v>
      </c>
      <c r="C5" t="s">
        <v>24</v>
      </c>
    </row>
    <row r="6" spans="1:3" x14ac:dyDescent="0.2">
      <c r="A6">
        <v>4</v>
      </c>
      <c r="B6" t="s">
        <v>25</v>
      </c>
      <c r="C6" t="s">
        <v>26</v>
      </c>
    </row>
    <row r="7" spans="1:3" x14ac:dyDescent="0.2">
      <c r="A7">
        <v>5</v>
      </c>
      <c r="B7" t="s">
        <v>27</v>
      </c>
      <c r="C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29</v>
      </c>
      <c r="B1" s="1" t="s">
        <v>30</v>
      </c>
      <c r="C1" s="1" t="s">
        <v>31</v>
      </c>
    </row>
    <row r="2" spans="1:3" x14ac:dyDescent="0.2">
      <c r="A2" t="s">
        <v>32</v>
      </c>
      <c r="B2" t="s">
        <v>33</v>
      </c>
      <c r="C2" t="s">
        <v>34</v>
      </c>
    </row>
    <row r="3" spans="1:3" x14ac:dyDescent="0.2">
      <c r="A3" t="s">
        <v>35</v>
      </c>
      <c r="B3" t="s">
        <v>36</v>
      </c>
      <c r="C3" t="s">
        <v>37</v>
      </c>
    </row>
    <row r="4" spans="1:3" x14ac:dyDescent="0.2">
      <c r="A4" t="s">
        <v>38</v>
      </c>
      <c r="B4" t="s">
        <v>39</v>
      </c>
      <c r="C4" t="s">
        <v>40</v>
      </c>
    </row>
    <row r="5" spans="1:3" x14ac:dyDescent="0.2">
      <c r="A5" t="s">
        <v>41</v>
      </c>
      <c r="B5" t="s">
        <v>42</v>
      </c>
      <c r="C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QSRI Index</vt:lpstr>
      <vt:lpstr>Maturity Levels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Sameh Saeed</cp:lastModifiedBy>
  <dcterms:created xsi:type="dcterms:W3CDTF">2025-10-08T15:09:15Z</dcterms:created>
  <dcterms:modified xsi:type="dcterms:W3CDTF">2026-01-21T15:37:24Z</dcterms:modified>
</cp:coreProperties>
</file>